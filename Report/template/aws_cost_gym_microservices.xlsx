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EB306B1-4580-4400-A607-417F571192BD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Chi phí AWS" sheetId="1" r:id="rId1"/>
  </sheets>
  <definedNames>
    <definedName name="_xlnm.Print_Titles" localSheetId="0">'Chi phí AWS'!$1:$3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3" i="1" l="1"/>
  <c r="G35" i="1" s="1"/>
</calcChain>
</file>

<file path=xl/sharedStrings.xml><?xml version="1.0" encoding="utf-8"?>
<sst xmlns="http://schemas.openxmlformats.org/spreadsheetml/2006/main" count="122" uniqueCount="98">
  <si>
    <t>BẢNG TÍNH CHI PHÍ AWS – GYM MICROSERVICES</t>
  </si>
  <si>
    <t>Region: us-east-1 (N. Virginia)  |  Giá On-Demand  |  Tháng 5/2026  |  Nguồn: aws.amazon.com</t>
  </si>
  <si>
    <t>STT</t>
  </si>
  <si>
    <t>Tên dịch vụ</t>
  </si>
  <si>
    <t>Loại dịch vụ</t>
  </si>
  <si>
    <t>Đơn giá (USD)</t>
  </si>
  <si>
    <t>Số lượng / Đơn vị</t>
  </si>
  <si>
    <t>Ghi chú</t>
  </si>
  <si>
    <t>Phí/tháng (USD)</t>
  </si>
  <si>
    <t>COMPUTE — ECS FARGATE</t>
  </si>
  <si>
    <t>ECS Fargate – Service A (gym)</t>
  </si>
  <si>
    <t>ECS Fargate</t>
  </si>
  <si>
    <t>ECS Fargate – Service B (user)</t>
  </si>
  <si>
    <t>ECS Fargate – Service C (ai)</t>
  </si>
  <si>
    <t>NETWORKING — VPC</t>
  </si>
  <si>
    <t>NAT Gateway 1 (AZ-a / PrivateSubnet1)</t>
  </si>
  <si>
    <t>NAT Gateway</t>
  </si>
  <si>
    <t>$0.045/giờ</t>
  </si>
  <si>
    <t>730 giờ/tháng</t>
  </si>
  <si>
    <t>NAT Gateway 2 (AZ-b / PrivateSubnet2)</t>
  </si>
  <si>
    <t>Elastic IP – NatEip1</t>
  </si>
  <si>
    <t>Elastic IP</t>
  </si>
  <si>
    <t>$0.005/giờ</t>
  </si>
  <si>
    <t>Elastic IP – NatEip2</t>
  </si>
  <si>
    <t>Data processing qua NAT GW</t>
  </si>
  <si>
    <t>$0.045/GB</t>
  </si>
  <si>
    <t>~10 GB/tháng (ước tính)</t>
  </si>
  <si>
    <t>LOAD BALANCER — ALB</t>
  </si>
  <si>
    <t>ALB – giờ hoạt động</t>
  </si>
  <si>
    <t>$0.0225/giờ</t>
  </si>
  <si>
    <t>ALB – LCU (traffic thấp)</t>
  </si>
  <si>
    <t>$0.008/LCU-giờ</t>
  </si>
  <si>
    <t>~1 LCU × 730 giờ</t>
  </si>
  <si>
    <t>DATABASE — RDS PostgreSQL</t>
  </si>
  <si>
    <t>RDS db.t3.micro – compute</t>
  </si>
  <si>
    <t>RDS PostgreSQL</t>
  </si>
  <si>
    <t>$0.018/giờ</t>
  </si>
  <si>
    <t>RDS Storage – 20 GB gp2</t>
  </si>
  <si>
    <t>RDS Storage</t>
  </si>
  <si>
    <t>$0.115/GB-tháng</t>
  </si>
  <si>
    <t>20 GB</t>
  </si>
  <si>
    <t>EC2 t3.micro (SSH access)</t>
  </si>
  <si>
    <t>EC2 On-Demand</t>
  </si>
  <si>
    <t>$0.0104/giờ</t>
  </si>
  <si>
    <t>EBS Volume – root disk 8 GB gp2</t>
  </si>
  <si>
    <t>EBS Storage</t>
  </si>
  <si>
    <t>$0.10/GB-tháng</t>
  </si>
  <si>
    <t>8 GB</t>
  </si>
  <si>
    <t>CONTAINER REGISTRY — ECR</t>
  </si>
  <si>
    <t>ECR – 3 private repos (gym/user/ai)</t>
  </si>
  <si>
    <t>ECR Private</t>
  </si>
  <si>
    <t>~3 GB images</t>
  </si>
  <si>
    <t>LOGGING — CloudWatch Logs</t>
  </si>
  <si>
    <t>CW Logs – ingestion</t>
  </si>
  <si>
    <t>CloudWatch Logs</t>
  </si>
  <si>
    <t>$0.50/GB (first 10 TB)</t>
  </si>
  <si>
    <t>~5 GB/tháng (ước tính)</t>
  </si>
  <si>
    <t>CW Logs – lưu trữ</t>
  </si>
  <si>
    <t>$0.03/GB-tháng</t>
  </si>
  <si>
    <t>~2 GB stored</t>
  </si>
  <si>
    <t>SERVERLESS — Lambda</t>
  </si>
  <si>
    <t>Lambda</t>
  </si>
  <si>
    <t>Free tier: 1M req + 400K GB-s/tháng</t>
  </si>
  <si>
    <t>~1–5 lần/deploy</t>
  </si>
  <si>
    <t>SERVICE DISCOVERY — Route 53</t>
  </si>
  <si>
    <t>Route 53 SD</t>
  </si>
  <si>
    <t>$0.10/hosted zone/tháng</t>
  </si>
  <si>
    <t>TỔNG KẾT CHI PHÍ</t>
  </si>
  <si>
    <t>Tổng chi phí cơ sở (rows trên)</t>
  </si>
  <si>
    <t>Chi phí data transfer (NAT + internet, ước tính ~15 GB)</t>
  </si>
  <si>
    <t>💡  GỢI Ý TIẾT KIỆM CHI PHÍ</t>
  </si>
  <si>
    <t>2. Dừng EC2 khi không dùng -&gt; tiết kiệm $7.59/tháng</t>
  </si>
  <si>
    <t>1. Dùng 1 NAT Gateway thay 2 (chấp nhận single-AZ) -&gt; tiết kiệm ~$32.85/tháng (~16% tổng bill)</t>
  </si>
  <si>
    <t>4. Dùng VPC Endpoint cho ECR/S3 -&gt; giảm data processing qua NAT GW</t>
  </si>
  <si>
    <t>3. Mua Compute Savings Plan (1-year) -&gt; tiết kiệm đến 50% Fargate</t>
  </si>
  <si>
    <t>TỔNG ƯỚC TÍNH / THÁNG</t>
  </si>
  <si>
    <t>Application Load Balancer</t>
  </si>
  <si>
    <t>Chạy 24/7, Linux/x86   Fargate on-demand</t>
  </si>
  <si>
    <t>$0.04048/vCPU-hr || $0.004445/GB-hr</t>
  </si>
  <si>
    <t>1 task x 730h (0.25 vCPU, 512MB)</t>
  </si>
  <si>
    <t>Chi phí idle lớn (Không tính data processing)</t>
  </si>
  <si>
    <t>Gắn với NAT GW -&gt; tính phí $0.005/hr khi đang dùng</t>
  </si>
  <si>
    <t>Traffic từ ECS ra internet ECR pull, API call...</t>
  </si>
  <si>
    <t>Route 53 Private DNS Namespace</t>
  </si>
  <si>
    <t>1 private zone x 3 service entries</t>
  </si>
  <si>
    <t>Chỉ chạy khi deploy stack</t>
  </si>
  <si>
    <t>Sau 14 ngày tự xóa</t>
  </si>
  <si>
    <t>3 services x log group (14 ngày)</t>
  </si>
  <si>
    <t>[gym/user/ai].fitness.internal (giao tiếp nội bộ)</t>
  </si>
  <si>
    <t>Root volume EC2 x gp2 SSD</t>
  </si>
  <si>
    <t>gp2 SSD, 3 databases (gymdb, userdb, aidb)</t>
  </si>
  <si>
    <t>fitness-[gym/user/ai]-images</t>
  </si>
  <si>
    <t>Amazon Linux 2023</t>
  </si>
  <si>
    <t>Single-AZ, PostgreSQL 15 || 2 vCPU, 1 GB RAM</t>
  </si>
  <si>
    <t>1 ALB cho cả 3 services</t>
  </si>
  <si>
    <t>Traffic thấp tầm 1 LCU/giờ</t>
  </si>
  <si>
    <t xml:space="preserve"> </t>
  </si>
  <si>
    <t>COMPUTE — EC2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</si>
</sst>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9" x14ac:knownFonts="1">
    <font>
      <sz val="11"/>
      <color theme="1"/>
      <name val="Calibri"/>
      <family val="2"/>
      <charset val="1"/>
    </font>
    <font>
      <i/>
      <sz val="10"/>
      <color rgb="FF595959"/>
      <name val="Arial"/>
      <charset val="1"/>
    </font>
    <font>
      <b/>
      <sz val="10"/>
      <color rgb="FF7F6000"/>
      <name val="Arial"/>
      <charset val="1"/>
    </font>
    <font>
      <sz val="9"/>
      <color rgb="FF404040"/>
      <name val="Arial"/>
      <charset val="1"/>
    </font>
    <font>
      <i/>
      <sz val="8"/>
      <color rgb="FFA6A6A6"/>
      <name val="Arial"/>
      <charset val="1"/>
    </font>
    <font>
      <i/>
      <sz val="10"/>
      <color rgb="FF595959"/>
      <name val="Arial"/>
      <family val="2"/>
    </font>
    <font>
      <b/>
      <sz val="9"/>
      <color rgb="FF404040"/>
      <name val="Arial"/>
      <family val="2"/>
    </font>
    <font>
      <b/>
      <sz val="16"/>
      <color rgb="FF595959"/>
      <name val="Arial"/>
      <family val="2"/>
    </font>
    <font>
      <b/>
      <sz val="16"/>
      <name val="Arial"/>
      <family val="2"/>
    </font>
    <font>
      <b/>
      <sz val="16"/>
      <color rgb="FF0000FF"/>
      <name val="Arial"/>
      <family val="2"/>
    </font>
    <font>
      <b/>
      <sz val="16"/>
      <color rgb="FF1F3864"/>
      <name val="Arial"/>
      <family val="2"/>
    </font>
    <font>
      <b/>
      <sz val="16"/>
      <color rgb="FFC00000"/>
      <name val="Arial"/>
      <family val="2"/>
    </font>
    <font>
      <b/>
      <sz val="16"/>
      <color rgb="FFA6A6A6"/>
      <name val="Arial"/>
      <family val="2"/>
    </font>
    <font>
      <b/>
      <sz val="15"/>
      <color rgb="FFFFFFFF"/>
      <name val="Arial"/>
      <family val="2"/>
    </font>
    <font>
      <b/>
      <sz val="14"/>
      <color rgb="FFFFFFFF"/>
      <name val="Arial"/>
      <family val="2"/>
    </font>
    <font>
      <sz val="16"/>
      <color rgb="FF0000FF"/>
      <name val="Arial"/>
      <family val="2"/>
    </font>
    <font>
      <b/>
      <sz val="14"/>
      <color rgb="FF595959"/>
      <name val="Arial"/>
      <family val="2"/>
    </font>
    <font>
      <b/>
      <sz val="14"/>
      <color rgb="FF1F3864"/>
      <name val="Arial"/>
      <family val="2"/>
    </font>
    <font>
      <b/>
      <sz val="16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E8F0FE"/>
      </patternFill>
    </fill>
    <fill>
      <patternFill patternType="solid">
        <fgColor rgb="FFD6E4F7"/>
        <bgColor rgb="FFE8F0FE"/>
      </patternFill>
    </fill>
    <fill>
      <patternFill patternType="solid">
        <fgColor rgb="FFFFFFFF"/>
        <bgColor rgb="FFFFFDE7"/>
      </patternFill>
    </fill>
    <fill>
      <patternFill patternType="solid">
        <fgColor rgb="FFF2F7FC"/>
        <bgColor rgb="FFEBF3FB"/>
      </patternFill>
    </fill>
    <fill>
      <patternFill patternType="solid">
        <fgColor rgb="FFFFE0E0"/>
        <bgColor rgb="FFFFF2CC"/>
      </patternFill>
    </fill>
    <fill>
      <patternFill patternType="solid">
        <fgColor rgb="FFE8F0FE"/>
        <bgColor rgb="FFEBF3FB"/>
      </patternFill>
    </fill>
    <fill>
      <patternFill patternType="solid">
        <fgColor rgb="FFFFF2CC"/>
        <bgColor rgb="FFFFFDE7"/>
      </patternFill>
    </fill>
    <fill>
      <patternFill patternType="solid">
        <fgColor rgb="FFFFFDE7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FFE08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0" xfId="0" applyFont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2"/>
    </xf>
    <xf numFmtId="0" fontId="2" fillId="9" borderId="0" xfId="0" applyFont="1" applyFill="1" applyAlignment="1">
      <alignment horizontal="left" vertical="center" indent="1"/>
    </xf>
    <xf numFmtId="0" fontId="5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6" fillId="10" borderId="1" xfId="0" applyFont="1" applyFill="1" applyBorder="1" applyAlignment="1">
      <alignment horizontal="left" vertical="center" indent="2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4" fontId="8" fillId="5" borderId="2" xfId="0" applyNumberFormat="1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left" vertical="center" wrapText="1"/>
    </xf>
    <xf numFmtId="4" fontId="8" fillId="6" borderId="2" xfId="0" applyNumberFormat="1" applyFont="1" applyFill="1" applyBorder="1" applyAlignment="1">
      <alignment horizontal="right" vertical="center"/>
    </xf>
    <xf numFmtId="4" fontId="11" fillId="7" borderId="2" xfId="0" applyNumberFormat="1" applyFont="1" applyFill="1" applyBorder="1" applyAlignment="1">
      <alignment horizontal="right" vertical="center"/>
    </xf>
    <xf numFmtId="4" fontId="12" fillId="5" borderId="2" xfId="0" applyNumberFormat="1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4" fontId="10" fillId="8" borderId="2" xfId="0" applyNumberFormat="1" applyFont="1" applyFill="1" applyBorder="1" applyAlignment="1">
      <alignment horizontal="right" vertical="center"/>
    </xf>
    <xf numFmtId="4" fontId="15" fillId="5" borderId="2" xfId="0" applyNumberFormat="1" applyFont="1" applyFill="1" applyBorder="1" applyAlignment="1">
      <alignment horizontal="right" vertical="center"/>
    </xf>
    <xf numFmtId="0" fontId="16" fillId="5" borderId="2" xfId="0" applyFont="1" applyFill="1" applyBorder="1" applyAlignment="1">
      <alignment horizontal="left" vertical="center" wrapText="1"/>
    </xf>
    <xf numFmtId="0" fontId="16" fillId="6" borderId="2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horizontal="left" vertical="center" indent="1"/>
    </xf>
    <xf numFmtId="0" fontId="18" fillId="2" borderId="2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left" vertical="center" indent="2"/>
    </xf>
    <xf numFmtId="0" fontId="16" fillId="5" borderId="2" xfId="0" applyFont="1" applyFill="1" applyBorder="1" applyAlignment="1">
      <alignment horizontal="left" vertical="center" indent="2"/>
    </xf>
    <xf numFmtId="0" fontId="18" fillId="2" borderId="2" xfId="0" applyFont="1" applyFill="1" applyBorder="1" applyAlignment="1">
      <alignment horizontal="left" vertical="center" indent="2"/>
    </xf>
    <xf numFmtId="164" fontId="18" fillId="2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FFE0E0"/>
      <rgbColor rgb="FF808080"/>
      <rgbColor rgb="FF9999FF"/>
      <rgbColor rgb="FF993366"/>
      <rgbColor rgb="FFFFFDE7"/>
      <rgbColor rgb="FFE8F0FE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6E4F7"/>
      <rgbColor rgb="FFFFF2CC"/>
      <rgbColor rgb="FFA9C6E8"/>
      <rgbColor rgb="FFF2F7FC"/>
      <rgbColor rgb="FFCC99FF"/>
      <rgbColor rgb="FFFFE082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zoomScale="90" zoomScaleNormal="90" workbookViewId="0">
      <pane ySplit="3" topLeftCell="A4" activePane="bottomLeft" state="frozen"/>
      <selection pane="bottomLeft" activeCell="C46" sqref="C46"/>
    </sheetView>
  </sheetViews>
  <sheetFormatPr defaultColWidth="8.7109375" defaultRowHeight="15" x14ac:dyDescent="0.25"/>
  <cols>
    <col min="1" max="1" width="6" customWidth="1"/>
    <col min="2" max="2" width="58" customWidth="1"/>
    <col min="3" max="3" width="41.85546875" customWidth="1"/>
    <col min="4" max="4" width="54.7109375" customWidth="1"/>
    <col min="5" max="5" width="50.85546875" customWidth="1"/>
    <col min="6" max="6" width="67.42578125" customWidth="1"/>
    <col min="7" max="7" width="23.28515625" customWidth="1"/>
  </cols>
  <sheetData>
    <row r="1" spans="1:7" ht="30" customHeight="1" x14ac:dyDescent="0.25">
      <c r="A1" s="20" t="s">
        <v>0</v>
      </c>
      <c r="B1" s="20"/>
      <c r="C1" s="20"/>
      <c r="D1" s="20"/>
      <c r="E1" s="20"/>
      <c r="F1" s="20"/>
      <c r="G1" s="20"/>
    </row>
    <row r="2" spans="1:7" ht="18" customHeight="1" x14ac:dyDescent="0.25">
      <c r="A2" s="4" t="s">
        <v>1</v>
      </c>
      <c r="B2" s="5"/>
      <c r="C2" s="5"/>
      <c r="D2" s="5"/>
      <c r="E2" s="5"/>
      <c r="F2" s="5"/>
      <c r="G2" s="5"/>
    </row>
    <row r="3" spans="1:7" ht="27.75" customHeight="1" x14ac:dyDescent="0.25">
      <c r="A3" s="21" t="s">
        <v>2</v>
      </c>
      <c r="B3" s="21" t="s">
        <v>3</v>
      </c>
      <c r="C3" s="21" t="s">
        <v>4</v>
      </c>
      <c r="D3" s="21" t="s">
        <v>5</v>
      </c>
      <c r="E3" s="21" t="s">
        <v>6</v>
      </c>
      <c r="F3" s="21" t="s">
        <v>7</v>
      </c>
      <c r="G3" s="21" t="s">
        <v>8</v>
      </c>
    </row>
    <row r="4" spans="1:7" ht="15.75" customHeight="1" x14ac:dyDescent="0.25">
      <c r="A4" s="26" t="s">
        <v>9</v>
      </c>
      <c r="B4" s="26"/>
      <c r="C4" s="26"/>
      <c r="D4" s="26"/>
      <c r="E4" s="26"/>
      <c r="F4" s="26"/>
      <c r="G4" s="26"/>
    </row>
    <row r="5" spans="1:7" ht="36.75" customHeight="1" x14ac:dyDescent="0.25">
      <c r="A5" s="8">
        <v>1</v>
      </c>
      <c r="B5" s="9" t="s">
        <v>10</v>
      </c>
      <c r="C5" s="10" t="s">
        <v>11</v>
      </c>
      <c r="D5" s="11" t="s">
        <v>78</v>
      </c>
      <c r="E5" s="11" t="s">
        <v>79</v>
      </c>
      <c r="F5" s="24" t="s">
        <v>77</v>
      </c>
      <c r="G5" s="12">
        <v>8.8699999999999992</v>
      </c>
    </row>
    <row r="6" spans="1:7" ht="36.75" customHeight="1" x14ac:dyDescent="0.25">
      <c r="A6" s="13">
        <v>2</v>
      </c>
      <c r="B6" s="14" t="s">
        <v>12</v>
      </c>
      <c r="C6" s="15" t="s">
        <v>11</v>
      </c>
      <c r="D6" s="16" t="s">
        <v>78</v>
      </c>
      <c r="E6" s="16" t="s">
        <v>79</v>
      </c>
      <c r="F6" s="25" t="s">
        <v>77</v>
      </c>
      <c r="G6" s="17">
        <v>8.8699999999999992</v>
      </c>
    </row>
    <row r="7" spans="1:7" ht="36.75" customHeight="1" x14ac:dyDescent="0.25">
      <c r="A7" s="8">
        <v>3</v>
      </c>
      <c r="B7" s="9" t="s">
        <v>13</v>
      </c>
      <c r="C7" s="10" t="s">
        <v>11</v>
      </c>
      <c r="D7" s="11" t="s">
        <v>78</v>
      </c>
      <c r="E7" s="11" t="s">
        <v>79</v>
      </c>
      <c r="F7" s="24" t="s">
        <v>77</v>
      </c>
      <c r="G7" s="12">
        <v>8.8699999999999992</v>
      </c>
    </row>
    <row r="8" spans="1:7" ht="14.25" customHeight="1" x14ac:dyDescent="0.25">
      <c r="A8" s="26" t="s">
        <v>14</v>
      </c>
      <c r="B8" s="26"/>
      <c r="C8" s="26"/>
      <c r="D8" s="26"/>
      <c r="E8" s="26"/>
      <c r="F8" s="26"/>
      <c r="G8" s="26"/>
    </row>
    <row r="9" spans="1:7" ht="30" customHeight="1" x14ac:dyDescent="0.25">
      <c r="A9" s="8">
        <v>4</v>
      </c>
      <c r="B9" s="9" t="s">
        <v>15</v>
      </c>
      <c r="C9" s="10" t="s">
        <v>16</v>
      </c>
      <c r="D9" s="11" t="s">
        <v>17</v>
      </c>
      <c r="E9" s="11" t="s">
        <v>18</v>
      </c>
      <c r="F9" s="24" t="s">
        <v>80</v>
      </c>
      <c r="G9" s="18">
        <v>32.85</v>
      </c>
    </row>
    <row r="10" spans="1:7" ht="30" customHeight="1" x14ac:dyDescent="0.25">
      <c r="A10" s="13">
        <v>5</v>
      </c>
      <c r="B10" s="14" t="s">
        <v>19</v>
      </c>
      <c r="C10" s="15" t="s">
        <v>16</v>
      </c>
      <c r="D10" s="16" t="s">
        <v>17</v>
      </c>
      <c r="E10" s="16" t="s">
        <v>18</v>
      </c>
      <c r="F10" s="25"/>
      <c r="G10" s="18">
        <v>32.85</v>
      </c>
    </row>
    <row r="11" spans="1:7" ht="30" customHeight="1" x14ac:dyDescent="0.25">
      <c r="A11" s="8">
        <v>6</v>
      </c>
      <c r="B11" s="9" t="s">
        <v>20</v>
      </c>
      <c r="C11" s="10" t="s">
        <v>21</v>
      </c>
      <c r="D11" s="11" t="s">
        <v>22</v>
      </c>
      <c r="E11" s="11" t="s">
        <v>18</v>
      </c>
      <c r="F11" s="24" t="s">
        <v>81</v>
      </c>
      <c r="G11" s="12">
        <v>3.65</v>
      </c>
    </row>
    <row r="12" spans="1:7" ht="30" customHeight="1" x14ac:dyDescent="0.25">
      <c r="A12" s="13">
        <v>7</v>
      </c>
      <c r="B12" s="14" t="s">
        <v>23</v>
      </c>
      <c r="C12" s="15" t="s">
        <v>21</v>
      </c>
      <c r="D12" s="16" t="s">
        <v>22</v>
      </c>
      <c r="E12" s="16" t="s">
        <v>18</v>
      </c>
      <c r="F12" s="25" t="s">
        <v>81</v>
      </c>
      <c r="G12" s="17">
        <v>3.65</v>
      </c>
    </row>
    <row r="13" spans="1:7" ht="30" customHeight="1" x14ac:dyDescent="0.25">
      <c r="A13" s="8">
        <v>8</v>
      </c>
      <c r="B13" s="9" t="s">
        <v>24</v>
      </c>
      <c r="C13" s="10" t="s">
        <v>16</v>
      </c>
      <c r="D13" s="11" t="s">
        <v>25</v>
      </c>
      <c r="E13" s="11" t="s">
        <v>26</v>
      </c>
      <c r="F13" s="24" t="s">
        <v>82</v>
      </c>
      <c r="G13" s="12">
        <v>0.45</v>
      </c>
    </row>
    <row r="14" spans="1:7" ht="15.75" customHeight="1" x14ac:dyDescent="0.25">
      <c r="A14" s="26" t="s">
        <v>27</v>
      </c>
      <c r="B14" s="26"/>
      <c r="C14" s="26"/>
      <c r="D14" s="26"/>
      <c r="E14" s="26"/>
      <c r="F14" s="26"/>
      <c r="G14" s="26"/>
    </row>
    <row r="15" spans="1:7" ht="30" customHeight="1" x14ac:dyDescent="0.25">
      <c r="A15" s="8">
        <v>9</v>
      </c>
      <c r="B15" s="9" t="s">
        <v>28</v>
      </c>
      <c r="C15" s="10" t="s">
        <v>76</v>
      </c>
      <c r="D15" s="11" t="s">
        <v>29</v>
      </c>
      <c r="E15" s="11" t="s">
        <v>18</v>
      </c>
      <c r="F15" s="24" t="s">
        <v>94</v>
      </c>
      <c r="G15" s="12">
        <v>16.43</v>
      </c>
    </row>
    <row r="16" spans="1:7" ht="30" customHeight="1" x14ac:dyDescent="0.25">
      <c r="A16" s="13">
        <v>10</v>
      </c>
      <c r="B16" s="14" t="s">
        <v>30</v>
      </c>
      <c r="C16" s="15" t="s">
        <v>76</v>
      </c>
      <c r="D16" s="16" t="s">
        <v>31</v>
      </c>
      <c r="E16" s="16" t="s">
        <v>32</v>
      </c>
      <c r="F16" s="25" t="s">
        <v>95</v>
      </c>
      <c r="G16" s="17">
        <v>5.84</v>
      </c>
    </row>
    <row r="17" spans="1:7" ht="15.75" customHeight="1" x14ac:dyDescent="0.25">
      <c r="A17" s="26" t="s">
        <v>33</v>
      </c>
      <c r="B17" s="26"/>
      <c r="C17" s="26"/>
      <c r="D17" s="26"/>
      <c r="E17" s="26"/>
      <c r="F17" s="26"/>
      <c r="G17" s="26"/>
    </row>
    <row r="18" spans="1:7" ht="30" customHeight="1" x14ac:dyDescent="0.25">
      <c r="A18" s="8">
        <v>11</v>
      </c>
      <c r="B18" s="9" t="s">
        <v>34</v>
      </c>
      <c r="C18" s="10" t="s">
        <v>35</v>
      </c>
      <c r="D18" s="11" t="s">
        <v>36</v>
      </c>
      <c r="E18" s="11" t="s">
        <v>18</v>
      </c>
      <c r="F18" s="24" t="s">
        <v>93</v>
      </c>
      <c r="G18" s="12">
        <v>13.14</v>
      </c>
    </row>
    <row r="19" spans="1:7" ht="30" customHeight="1" x14ac:dyDescent="0.25">
      <c r="A19" s="13">
        <v>12</v>
      </c>
      <c r="B19" s="14" t="s">
        <v>37</v>
      </c>
      <c r="C19" s="15" t="s">
        <v>38</v>
      </c>
      <c r="D19" s="16" t="s">
        <v>39</v>
      </c>
      <c r="E19" s="16" t="s">
        <v>40</v>
      </c>
      <c r="F19" s="25" t="s">
        <v>90</v>
      </c>
      <c r="G19" s="17">
        <v>2.2999999999999998</v>
      </c>
    </row>
    <row r="20" spans="1:7" ht="15.75" customHeight="1" x14ac:dyDescent="0.25">
      <c r="A20" s="26" t="s">
        <v>97</v>
      </c>
      <c r="B20" s="26"/>
      <c r="C20" s="26"/>
      <c r="D20" s="26"/>
      <c r="E20" s="26"/>
      <c r="F20" s="26"/>
      <c r="G20" s="26"/>
    </row>
    <row r="21" spans="1:7" ht="30" customHeight="1" x14ac:dyDescent="0.25">
      <c r="A21" s="8">
        <v>13</v>
      </c>
      <c r="B21" s="9" t="s">
        <v>41</v>
      </c>
      <c r="C21" s="10" t="s">
        <v>42</v>
      </c>
      <c r="D21" s="11" t="s">
        <v>43</v>
      </c>
      <c r="E21" s="11" t="s">
        <v>18</v>
      </c>
      <c r="F21" s="24" t="s">
        <v>92</v>
      </c>
      <c r="G21" s="12">
        <v>7.59</v>
      </c>
    </row>
    <row r="22" spans="1:7" ht="30" customHeight="1" x14ac:dyDescent="0.25">
      <c r="A22" s="13">
        <v>14</v>
      </c>
      <c r="B22" s="14" t="s">
        <v>44</v>
      </c>
      <c r="C22" s="15" t="s">
        <v>45</v>
      </c>
      <c r="D22" s="16" t="s">
        <v>46</v>
      </c>
      <c r="E22" s="16" t="s">
        <v>47</v>
      </c>
      <c r="F22" s="25" t="s">
        <v>89</v>
      </c>
      <c r="G22" s="17">
        <v>0.8</v>
      </c>
    </row>
    <row r="23" spans="1:7" ht="15.75" customHeight="1" x14ac:dyDescent="0.25">
      <c r="A23" s="26" t="s">
        <v>48</v>
      </c>
      <c r="B23" s="26"/>
      <c r="C23" s="26"/>
      <c r="D23" s="26"/>
      <c r="E23" s="26"/>
      <c r="F23" s="26"/>
      <c r="G23" s="26"/>
    </row>
    <row r="24" spans="1:7" ht="30" customHeight="1" x14ac:dyDescent="0.25">
      <c r="A24" s="8">
        <v>15</v>
      </c>
      <c r="B24" s="9" t="s">
        <v>49</v>
      </c>
      <c r="C24" s="10" t="s">
        <v>50</v>
      </c>
      <c r="D24" s="11" t="s">
        <v>46</v>
      </c>
      <c r="E24" s="11" t="s">
        <v>51</v>
      </c>
      <c r="F24" s="24" t="s">
        <v>91</v>
      </c>
      <c r="G24" s="12">
        <v>0.3</v>
      </c>
    </row>
    <row r="25" spans="1:7" ht="15.75" customHeight="1" x14ac:dyDescent="0.25">
      <c r="A25" s="26" t="s">
        <v>52</v>
      </c>
      <c r="B25" s="26"/>
      <c r="C25" s="26"/>
      <c r="D25" s="26"/>
      <c r="E25" s="26"/>
      <c r="F25" s="26"/>
      <c r="G25" s="26"/>
    </row>
    <row r="26" spans="1:7" ht="30" customHeight="1" x14ac:dyDescent="0.25">
      <c r="A26" s="8">
        <v>16</v>
      </c>
      <c r="B26" s="9" t="s">
        <v>53</v>
      </c>
      <c r="C26" s="10" t="s">
        <v>54</v>
      </c>
      <c r="D26" s="11" t="s">
        <v>55</v>
      </c>
      <c r="E26" s="11" t="s">
        <v>56</v>
      </c>
      <c r="F26" s="24" t="s">
        <v>87</v>
      </c>
      <c r="G26" s="12">
        <v>2.5</v>
      </c>
    </row>
    <row r="27" spans="1:7" ht="30" customHeight="1" x14ac:dyDescent="0.25">
      <c r="A27" s="13">
        <v>17</v>
      </c>
      <c r="B27" s="14" t="s">
        <v>57</v>
      </c>
      <c r="C27" s="15" t="s">
        <v>54</v>
      </c>
      <c r="D27" s="16" t="s">
        <v>58</v>
      </c>
      <c r="E27" s="16" t="s">
        <v>59</v>
      </c>
      <c r="F27" s="25" t="s">
        <v>86</v>
      </c>
      <c r="G27" s="17">
        <v>0.06</v>
      </c>
    </row>
    <row r="28" spans="1:7" ht="15.75" customHeight="1" x14ac:dyDescent="0.25">
      <c r="A28" s="26" t="s">
        <v>60</v>
      </c>
      <c r="B28" s="26"/>
      <c r="C28" s="26"/>
      <c r="D28" s="26"/>
      <c r="E28" s="26"/>
      <c r="F28" s="26"/>
      <c r="G28" s="26"/>
    </row>
    <row r="29" spans="1:7" ht="30" customHeight="1" x14ac:dyDescent="0.25">
      <c r="A29" s="8">
        <v>18</v>
      </c>
      <c r="B29" s="9" t="s">
        <v>61</v>
      </c>
      <c r="C29" s="10" t="s">
        <v>61</v>
      </c>
      <c r="D29" s="11" t="s">
        <v>62</v>
      </c>
      <c r="E29" s="11" t="s">
        <v>63</v>
      </c>
      <c r="F29" s="24" t="s">
        <v>85</v>
      </c>
      <c r="G29" s="19">
        <v>0</v>
      </c>
    </row>
    <row r="30" spans="1:7" ht="15.75" customHeight="1" x14ac:dyDescent="0.25">
      <c r="A30" s="26" t="s">
        <v>64</v>
      </c>
      <c r="B30" s="26"/>
      <c r="C30" s="26"/>
      <c r="D30" s="26"/>
      <c r="E30" s="26"/>
      <c r="F30" s="26"/>
      <c r="G30" s="26"/>
    </row>
    <row r="31" spans="1:7" ht="30" customHeight="1" x14ac:dyDescent="0.25">
      <c r="A31" s="8">
        <v>19</v>
      </c>
      <c r="B31" s="9" t="s">
        <v>83</v>
      </c>
      <c r="C31" s="10" t="s">
        <v>65</v>
      </c>
      <c r="D31" s="11" t="s">
        <v>66</v>
      </c>
      <c r="E31" s="11" t="s">
        <v>84</v>
      </c>
      <c r="F31" s="24" t="s">
        <v>88</v>
      </c>
      <c r="G31" s="12">
        <v>0.1</v>
      </c>
    </row>
    <row r="32" spans="1:7" ht="21.75" customHeight="1" x14ac:dyDescent="0.25">
      <c r="A32" s="27" t="s">
        <v>67</v>
      </c>
      <c r="B32" s="27"/>
      <c r="C32" s="27"/>
      <c r="D32" s="27"/>
      <c r="E32" s="27"/>
      <c r="F32" s="27"/>
      <c r="G32" s="6"/>
    </row>
    <row r="33" spans="1:8" ht="21.75" customHeight="1" x14ac:dyDescent="0.25">
      <c r="A33" s="28" t="s">
        <v>68</v>
      </c>
      <c r="B33" s="28"/>
      <c r="C33" s="28"/>
      <c r="D33" s="28"/>
      <c r="E33" s="28"/>
      <c r="F33" s="28"/>
      <c r="G33" s="22">
        <f>SUMIF(G4:G31,"&gt;0")</f>
        <v>149.12000000000006</v>
      </c>
    </row>
    <row r="34" spans="1:8" ht="21.75" customHeight="1" x14ac:dyDescent="0.25">
      <c r="A34" s="29" t="s">
        <v>69</v>
      </c>
      <c r="B34" s="29"/>
      <c r="C34" s="29"/>
      <c r="D34" s="29"/>
      <c r="E34" s="29"/>
      <c r="F34" s="29"/>
      <c r="G34" s="23">
        <v>0.9</v>
      </c>
    </row>
    <row r="35" spans="1:8" ht="30" customHeight="1" x14ac:dyDescent="0.25">
      <c r="A35" s="30" t="s">
        <v>75</v>
      </c>
      <c r="B35" s="30"/>
      <c r="C35" s="30"/>
      <c r="D35" s="30"/>
      <c r="E35" s="30"/>
      <c r="F35" s="30"/>
      <c r="G35" s="31">
        <f>G33+G34</f>
        <v>150.02000000000007</v>
      </c>
    </row>
    <row r="37" spans="1:8" ht="19.5" customHeight="1" x14ac:dyDescent="0.25">
      <c r="A37" s="3" t="s">
        <v>70</v>
      </c>
      <c r="B37" s="3"/>
      <c r="C37" s="3"/>
      <c r="D37" s="3"/>
      <c r="E37" s="3"/>
      <c r="F37" s="3"/>
      <c r="G37" s="3"/>
    </row>
    <row r="38" spans="1:8" ht="15.75" customHeight="1" x14ac:dyDescent="0.25">
      <c r="A38" s="7" t="s">
        <v>72</v>
      </c>
      <c r="B38" s="7"/>
      <c r="C38" s="7"/>
      <c r="D38" s="7"/>
      <c r="E38" s="7"/>
      <c r="F38" s="7"/>
      <c r="G38" s="7"/>
    </row>
    <row r="39" spans="1:8" ht="15.75" customHeight="1" x14ac:dyDescent="0.25">
      <c r="A39" s="7" t="s">
        <v>71</v>
      </c>
      <c r="B39" s="7"/>
      <c r="C39" s="7"/>
      <c r="D39" s="7"/>
      <c r="E39" s="7"/>
      <c r="F39" s="7"/>
      <c r="G39" s="7"/>
    </row>
    <row r="40" spans="1:8" ht="15.75" customHeight="1" x14ac:dyDescent="0.25">
      <c r="A40" s="7" t="s">
        <v>74</v>
      </c>
      <c r="B40" s="7"/>
      <c r="C40" s="7"/>
      <c r="D40" s="7"/>
      <c r="E40" s="7"/>
      <c r="F40" s="7"/>
      <c r="G40" s="7"/>
    </row>
    <row r="41" spans="1:8" ht="15.75" customHeight="1" x14ac:dyDescent="0.25">
      <c r="A41" s="7" t="s">
        <v>73</v>
      </c>
      <c r="B41" s="7"/>
      <c r="C41" s="7"/>
      <c r="D41" s="7"/>
      <c r="E41" s="7"/>
      <c r="F41" s="7"/>
      <c r="G41" s="7"/>
      <c r="H41" t="s">
        <v>96</v>
      </c>
    </row>
    <row r="42" spans="1:8" ht="15.75" customHeight="1" x14ac:dyDescent="0.25"/>
    <row r="43" spans="1:8" ht="15.75" customHeight="1" x14ac:dyDescent="0.25">
      <c r="A43" s="2"/>
      <c r="B43" s="2"/>
      <c r="C43" s="2"/>
      <c r="D43" s="2"/>
      <c r="E43" s="2"/>
      <c r="F43" s="2"/>
      <c r="G43" s="2"/>
    </row>
    <row r="45" spans="1:8" ht="13.5" customHeight="1" x14ac:dyDescent="0.25">
      <c r="A45" s="1"/>
      <c r="B45" s="1"/>
      <c r="C45" s="1"/>
      <c r="D45" s="1"/>
      <c r="E45" s="1"/>
      <c r="F45" s="1"/>
      <c r="G45" s="1"/>
    </row>
  </sheetData>
  <mergeCells count="22">
    <mergeCell ref="A41:G41"/>
    <mergeCell ref="A43:G43"/>
    <mergeCell ref="A45:G45"/>
    <mergeCell ref="A37:G37"/>
    <mergeCell ref="A38:G38"/>
    <mergeCell ref="A40:G40"/>
    <mergeCell ref="A39:G39"/>
    <mergeCell ref="A30:G30"/>
    <mergeCell ref="A32:F32"/>
    <mergeCell ref="A33:F33"/>
    <mergeCell ref="A34:F34"/>
    <mergeCell ref="A35:F35"/>
    <mergeCell ref="A17:G17"/>
    <mergeCell ref="A20:G20"/>
    <mergeCell ref="A23:G23"/>
    <mergeCell ref="A25:G25"/>
    <mergeCell ref="A28:G28"/>
    <mergeCell ref="A1:G1"/>
    <mergeCell ref="A2:G2"/>
    <mergeCell ref="A4:G4"/>
    <mergeCell ref="A8:G8"/>
    <mergeCell ref="A14:G14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Chi phí AWS</vt:lpstr>
      <vt:lpstr>'Chi phí AWS'!Print_Titles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2026-05-27T06:33:34Z</dcterms:created>
  <dcterms:modified xsi:type="dcterms:W3CDTF">2026-05-27T09:49:03Z</dcterms:modified>
  <dc:language>en-US</dc:language>
</cp:coreProperties>
</file>